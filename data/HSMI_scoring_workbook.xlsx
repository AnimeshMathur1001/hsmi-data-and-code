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TOPSI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India</t>
        </is>
      </c>
      <c r="C1" s="1" t="inlineStr">
        <is>
          <t>USA</t>
        </is>
      </c>
      <c r="D1" s="1" t="inlineStr">
        <is>
          <t>Europe</t>
        </is>
      </c>
      <c r="E1" s="1" t="inlineStr">
        <is>
          <t>Canada</t>
        </is>
      </c>
      <c r="F1" s="1" t="inlineStr">
        <is>
          <t>Japan</t>
        </is>
      </c>
      <c r="G1" s="1" t="inlineStr">
        <is>
          <t>Weight</t>
        </is>
      </c>
    </row>
    <row r="2">
      <c r="A2" t="inlineStr">
        <is>
          <t>P1 Regulatory Ease</t>
        </is>
      </c>
      <c r="B2" t="n">
        <v>2</v>
      </c>
      <c r="C2" t="n">
        <v>6</v>
      </c>
      <c r="D2" t="n">
        <v>7</v>
      </c>
      <c r="E2" t="n">
        <v>7</v>
      </c>
      <c r="F2" t="n">
        <v>3</v>
      </c>
      <c r="G2" t="n">
        <v>0.15</v>
      </c>
    </row>
    <row r="3">
      <c r="A3" t="inlineStr">
        <is>
          <t>P2 Standards Density</t>
        </is>
      </c>
      <c r="B3" t="n">
        <v>8</v>
      </c>
      <c r="C3" t="n">
        <v>8</v>
      </c>
      <c r="D3" t="n">
        <v>9</v>
      </c>
      <c r="E3" t="n">
        <v>7</v>
      </c>
      <c r="F3" t="n">
        <v>9</v>
      </c>
      <c r="G3" t="n">
        <v>0.15</v>
      </c>
    </row>
    <row r="4">
      <c r="A4" t="inlineStr">
        <is>
          <t>P3 Incident Reduction</t>
        </is>
      </c>
      <c r="B4" t="n">
        <v>4</v>
      </c>
      <c r="C4" t="n">
        <v>8</v>
      </c>
      <c r="D4" t="n">
        <v>9</v>
      </c>
      <c r="E4" t="n">
        <v>8</v>
      </c>
      <c r="F4" t="n">
        <v>9</v>
      </c>
      <c r="G4" t="n">
        <v>0.2</v>
      </c>
    </row>
    <row r="5">
      <c r="A5" t="inlineStr">
        <is>
          <t>P4 Infrastructure Compliance</t>
        </is>
      </c>
      <c r="B5" t="n">
        <v>3</v>
      </c>
      <c r="C5" t="n">
        <v>7</v>
      </c>
      <c r="D5" t="n">
        <v>8</v>
      </c>
      <c r="E5" t="n">
        <v>8</v>
      </c>
      <c r="F5" t="n">
        <v>10</v>
      </c>
      <c r="G5" t="n">
        <v>0.15</v>
      </c>
    </row>
    <row r="6">
      <c r="A6" t="inlineStr">
        <is>
          <t>P5 Detection Systems</t>
        </is>
      </c>
      <c r="B6" t="n">
        <v>6</v>
      </c>
      <c r="C6" t="n">
        <v>9</v>
      </c>
      <c r="D6" t="n">
        <v>9</v>
      </c>
      <c r="E6" t="n">
        <v>8</v>
      </c>
      <c r="F6" t="n">
        <v>9</v>
      </c>
      <c r="G6" t="n">
        <v>0.1</v>
      </c>
    </row>
    <row r="7">
      <c r="A7" t="inlineStr">
        <is>
          <t>P6 Material Standards</t>
        </is>
      </c>
      <c r="B7" t="n">
        <v>7</v>
      </c>
      <c r="C7" t="n">
        <v>8</v>
      </c>
      <c r="D7" t="n">
        <v>8</v>
      </c>
      <c r="E7" t="n">
        <v>8</v>
      </c>
      <c r="F7" t="n">
        <v>9</v>
      </c>
      <c r="G7" t="n">
        <v>0.05</v>
      </c>
    </row>
    <row r="8">
      <c r="A8" t="inlineStr">
        <is>
          <t>P7 Training Protocols</t>
        </is>
      </c>
      <c r="B8" t="n">
        <v>3</v>
      </c>
      <c r="C8" t="n">
        <v>7</v>
      </c>
      <c r="D8" t="n">
        <v>7</v>
      </c>
      <c r="E8" t="n">
        <v>7</v>
      </c>
      <c r="F8" t="n">
        <v>8</v>
      </c>
      <c r="G8" t="n">
        <v>0.05</v>
      </c>
    </row>
    <row r="9">
      <c r="A9" t="inlineStr">
        <is>
          <t>P8 Risk Quantification</t>
        </is>
      </c>
      <c r="B9" t="n">
        <v>5</v>
      </c>
      <c r="C9" t="n">
        <v>8</v>
      </c>
      <c r="D9" t="n">
        <v>9</v>
      </c>
      <c r="E9" t="n">
        <v>7</v>
      </c>
      <c r="F9" t="n">
        <v>8</v>
      </c>
      <c r="G9" t="n">
        <v>0.1</v>
      </c>
    </row>
    <row r="10">
      <c r="A10" t="inlineStr">
        <is>
          <t>P9 Mobile HRS Readiness</t>
        </is>
      </c>
      <c r="B10" t="n">
        <v>3</v>
      </c>
      <c r="C10" t="n">
        <v>4</v>
      </c>
      <c r="D10" t="n">
        <v>5</v>
      </c>
      <c r="E10" t="n">
        <v>9</v>
      </c>
      <c r="F10" t="n">
        <v>2</v>
      </c>
      <c r="G10" t="n">
        <v>0.03</v>
      </c>
    </row>
    <row r="11">
      <c r="A11" t="inlineStr">
        <is>
          <t>P10 Policy Convergence</t>
        </is>
      </c>
      <c r="B11" t="n">
        <v>6</v>
      </c>
      <c r="C11" t="n">
        <v>8</v>
      </c>
      <c r="D11" t="n">
        <v>9</v>
      </c>
      <c r="E11" t="n">
        <v>8</v>
      </c>
      <c r="F11" t="n">
        <v>9</v>
      </c>
      <c r="G11" t="n">
        <v>0.02</v>
      </c>
    </row>
    <row r="12">
      <c r="A12" t="inlineStr">
        <is>
          <t>SAW score</t>
        </is>
      </c>
      <c r="B12">
        <f>SUMPRODUCT(B2:B11,$G$2:$G$11)</f>
        <v/>
      </c>
      <c r="C12">
        <f>SUMPRODUCT(C2:C11,$G$2:$G$11)</f>
        <v/>
      </c>
      <c r="D12">
        <f>SUMPRODUCT(D2:D11,$G$2:$G$11)</f>
        <v/>
      </c>
      <c r="E12">
        <f>SUMPRODUCT(E2:E11,$G$2:$G$11)</f>
        <v/>
      </c>
      <c r="F12">
        <f>SUMPRODUCT(F2:F11,$G$2:$G$11)</f>
        <v/>
      </c>
      <c r="G12">
        <f>SUM(G2:G11)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Jurisdiction</t>
        </is>
      </c>
      <c r="B1" s="1" t="inlineStr">
        <is>
          <t>D+</t>
        </is>
      </c>
      <c r="C1" s="1" t="inlineStr">
        <is>
          <t>D-</t>
        </is>
      </c>
      <c r="D1" s="1" t="inlineStr">
        <is>
          <t>CC</t>
        </is>
      </c>
      <c r="E1" s="1" t="inlineStr">
        <is>
          <t>SAW</t>
        </is>
      </c>
    </row>
    <row r="2">
      <c r="A2" t="inlineStr">
        <is>
          <t>India</t>
        </is>
      </c>
      <c r="B2" t="n">
        <v>0.1114</v>
      </c>
      <c r="C2" t="n">
        <v>0.00855</v>
      </c>
      <c r="D2" t="n">
        <v>0.07099999999999999</v>
      </c>
      <c r="E2" t="n">
        <v>4.56</v>
      </c>
    </row>
    <row r="3">
      <c r="A3" t="inlineStr">
        <is>
          <t>USA</t>
        </is>
      </c>
      <c r="B3" t="n">
        <v>0.03578</v>
      </c>
      <c r="C3" t="n">
        <v>0.08165</v>
      </c>
      <c r="D3" t="n">
        <v>0.695</v>
      </c>
      <c r="E3" t="n">
        <v>7.48</v>
      </c>
    </row>
    <row r="4">
      <c r="A4" t="inlineStr">
        <is>
          <t>Europe</t>
        </is>
      </c>
      <c r="B4" t="n">
        <v>0.02099</v>
      </c>
      <c r="C4" t="n">
        <v>0.10205</v>
      </c>
      <c r="D4" t="n">
        <v>0.829</v>
      </c>
      <c r="E4" t="n">
        <v>8.279999999999999</v>
      </c>
    </row>
    <row r="5">
      <c r="A5" t="inlineStr">
        <is>
          <t>Canada</t>
        </is>
      </c>
      <c r="B5" t="n">
        <v>0.03003</v>
      </c>
      <c r="C5" t="n">
        <v>0.09308</v>
      </c>
      <c r="D5" t="n">
        <v>0.756</v>
      </c>
      <c r="E5" t="n">
        <v>7.58</v>
      </c>
    </row>
    <row r="6">
      <c r="A6" t="inlineStr">
        <is>
          <t>Japan</t>
        </is>
      </c>
      <c r="B6" t="n">
        <v>0.05302</v>
      </c>
      <c r="C6" t="n">
        <v>0.09191000000000001</v>
      </c>
      <c r="D6" t="n">
        <v>0.634</v>
      </c>
      <c r="E6" t="n">
        <v>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India</t>
        </is>
      </c>
      <c r="C1" t="inlineStr">
        <is>
          <t>USA</t>
        </is>
      </c>
      <c r="D1" t="inlineStr">
        <is>
          <t>Europe</t>
        </is>
      </c>
      <c r="E1" t="inlineStr">
        <is>
          <t>Canada</t>
        </is>
      </c>
      <c r="F1" t="inlineStr">
        <is>
          <t>Japan</t>
        </is>
      </c>
    </row>
    <row r="2">
      <c r="A2" t="inlineStr">
        <is>
          <t>Baseline</t>
        </is>
      </c>
      <c r="B2" t="n">
        <v>4.56</v>
      </c>
      <c r="C2" t="n">
        <v>7.48</v>
      </c>
      <c r="D2" t="n">
        <v>8.279999999999999</v>
      </c>
      <c r="E2" t="n">
        <v>7.58</v>
      </c>
      <c r="F2" t="n">
        <v>7.89</v>
      </c>
    </row>
    <row r="3">
      <c r="A3" t="inlineStr">
        <is>
          <t>P3 +10%</t>
        </is>
      </c>
      <c r="B3" t="n">
        <v>4.55</v>
      </c>
      <c r="C3" t="n">
        <v>7.49</v>
      </c>
      <c r="D3" t="n">
        <v>8.300000000000001</v>
      </c>
      <c r="E3" t="n">
        <v>7.59</v>
      </c>
      <c r="F3" t="n">
        <v>7.92</v>
      </c>
    </row>
    <row r="4">
      <c r="A4" t="inlineStr">
        <is>
          <t>P3 -10%</t>
        </is>
      </c>
      <c r="B4" t="n">
        <v>4.57</v>
      </c>
      <c r="C4" t="n">
        <v>7.47</v>
      </c>
      <c r="D4" t="n">
        <v>8.26</v>
      </c>
      <c r="E4" t="n">
        <v>7.57</v>
      </c>
      <c r="F4" t="n">
        <v>7.86</v>
      </c>
    </row>
    <row r="5">
      <c r="A5" t="inlineStr">
        <is>
          <t>P1 +10%</t>
        </is>
      </c>
      <c r="B5" t="n">
        <v>4.51</v>
      </c>
      <c r="C5" t="n">
        <v>7.45</v>
      </c>
      <c r="D5" t="n">
        <v>8.26</v>
      </c>
      <c r="E5" t="n">
        <v>7.57</v>
      </c>
      <c r="F5" t="n">
        <v>7.8</v>
      </c>
    </row>
    <row r="6">
      <c r="A6" t="inlineStr">
        <is>
          <t>P1 -10%</t>
        </is>
      </c>
      <c r="B6" t="n">
        <v>4.61</v>
      </c>
      <c r="C6" t="n">
        <v>7.51</v>
      </c>
      <c r="D6" t="n">
        <v>8.300000000000001</v>
      </c>
      <c r="E6" t="n">
        <v>7.59</v>
      </c>
      <c r="F6" t="n">
        <v>7.98</v>
      </c>
    </row>
    <row r="7">
      <c r="A7" t="inlineStr">
        <is>
          <t>P7 weight 10%</t>
        </is>
      </c>
      <c r="B7" t="n">
        <v>4.48</v>
      </c>
      <c r="C7" t="n">
        <v>7.45</v>
      </c>
      <c r="D7" t="n">
        <v>8.210000000000001</v>
      </c>
      <c r="E7" t="n">
        <v>7.55</v>
      </c>
      <c r="F7" t="n">
        <v>7.9</v>
      </c>
    </row>
    <row r="8">
      <c r="A8" t="inlineStr">
        <is>
          <t>P7 weight 15%</t>
        </is>
      </c>
      <c r="B8" t="n">
        <v>4.4</v>
      </c>
      <c r="C8" t="n">
        <v>7.43</v>
      </c>
      <c r="D8" t="n">
        <v>8.15</v>
      </c>
      <c r="E8" t="n">
        <v>7.52</v>
      </c>
      <c r="F8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HSMI scoring matrix, weights and derived results for the manuscript.</t>
        </is>
      </c>
    </row>
    <row r="2">
      <c r="A2" t="inlineStr">
        <is>
          <t>Scores are ordinal author judgments (0-10) based on the regulatory and engineering evidence in the paper.</t>
        </is>
      </c>
    </row>
    <row r="3">
      <c r="A3" t="inlineStr">
        <is>
          <t>Weights are informed by HIAD root-cause frequencies and are not statistically estimated.</t>
        </is>
      </c>
    </row>
    <row r="4">
      <c r="A4" t="inlineStr">
        <is>
          <t>HIAD source: Hydrogen Incidents and Accidents Database, European Commission JRC (extract October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cp:coreProperties xmlns:cp="http://schemas.openxmlformats.org/package/2006/metadata/core-properties"><dc:creator>Animesh Mathur</dc:creator><dcterms:created xmlns:dcterms="http://purl.org/dc/terms/" xmlns:xsi="http://www.w3.org/2001/XMLSchema-instance" xsi:type="dcterms:W3CDTF">2026-10-19T18:58:05Z</dcterms:created><dcterms:modified xmlns:dcterms="http://purl.org/dc/terms/" xmlns:xsi="http://www.w3.org/2001/XMLSchema-instance" xsi:type="dcterms:W3CDTF">2026-10-19T18:58:05Z</dcterms:modified></cp:coreProperties>
</file>